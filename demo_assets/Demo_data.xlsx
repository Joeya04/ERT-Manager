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gasink\Desktop\ERT Project\Python\"/>
    </mc:Choice>
  </mc:AlternateContent>
  <xr:revisionPtr revIDLastSave="0" documentId="13_ncr:1_{F6B82E21-91A2-499A-8CE5-51CB583EE3C8}" xr6:coauthVersionLast="47" xr6:coauthVersionMax="47" xr10:uidLastSave="{00000000-0000-0000-0000-000000000000}"/>
  <bookViews>
    <workbookView xWindow="19090" yWindow="-110" windowWidth="19420" windowHeight="10300" activeTab="2" xr2:uid="{2A35F4C5-4304-478A-B4DC-D8F5FBDFFA92}"/>
  </bookViews>
  <sheets>
    <sheet name="Jolthead Porgy" sheetId="1" r:id="rId1"/>
    <sheet name="Sheepshead Porgy" sheetId="2" r:id="rId2"/>
    <sheet name="Saucereye Porgy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6" i="2" l="1"/>
  <c r="B25" i="2"/>
  <c r="B24" i="2"/>
  <c r="G23" i="2"/>
  <c r="B2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tc={013C0EDD-B1C6-4B5D-BE65-47810383556E}</author>
    <author>tc={B95AD913-6C1C-48F9-9B6F-2F5E4110ECC9}</author>
  </authors>
  <commentList>
    <comment ref="B34" authorId="0" shapeId="0" xr:uid="{013C0EDD-B1C6-4B5D-BE65-47810383556E}">
      <text>
        <t>[Threaded comment]
Your version of Excel allows you to read this threaded comment; however, any edits to it will get removed if the file is opened in a newer version of Excel. Learn more: https://go.microsoft.com/fwlink/?linkid=870924
Comment:
    Likely an undercount of one individual who was found and counted in 2007</t>
      </text>
    </comment>
    <comment ref="B37" authorId="1" shapeId="0" xr:uid="{B95AD913-6C1C-48F9-9B6F-2F5E4110ECC9}">
      <text>
        <t>[Threaded comment]
Your version of Excel allows you to read this threaded comment; however, any edits to it will get removed if the file is opened in a newer version of Excel. Learn more: https://go.microsoft.com/fwlink/?linkid=870924
Comment:
    Undercount of 1 surviving individual in 2008 and 2009. No additions in 2010</t>
      </text>
    </comment>
  </commentList>
</comments>
</file>

<file path=xl/sharedStrings.xml><?xml version="1.0" encoding="utf-8"?>
<sst xmlns="http://schemas.openxmlformats.org/spreadsheetml/2006/main" count="84" uniqueCount="50">
  <si>
    <t>JP1</t>
  </si>
  <si>
    <t>JP2</t>
  </si>
  <si>
    <t>JP3</t>
  </si>
  <si>
    <t>JP4</t>
  </si>
  <si>
    <t>2015 Census</t>
  </si>
  <si>
    <t>2019 Census</t>
  </si>
  <si>
    <t>Census 2009</t>
  </si>
  <si>
    <t>Year</t>
  </si>
  <si>
    <t>Census Totals</t>
  </si>
  <si>
    <t>Adj. Total</t>
  </si>
  <si>
    <t>ERT Total</t>
  </si>
  <si>
    <t>0 (1-1)</t>
  </si>
  <si>
    <t>N</t>
  </si>
  <si>
    <t>MED</t>
  </si>
  <si>
    <t>AVG</t>
  </si>
  <si>
    <t>MAX</t>
  </si>
  <si>
    <t>SH1</t>
  </si>
  <si>
    <t>SH2</t>
  </si>
  <si>
    <t>SH3</t>
  </si>
  <si>
    <t>SH4</t>
  </si>
  <si>
    <t>SH5</t>
  </si>
  <si>
    <t>SH6</t>
  </si>
  <si>
    <t>SH7</t>
  </si>
  <si>
    <t>SH8</t>
  </si>
  <si>
    <t>2001 Census</t>
  </si>
  <si>
    <t>2002  Census</t>
  </si>
  <si>
    <t>2011 Census</t>
  </si>
  <si>
    <t>2014 Census</t>
  </si>
  <si>
    <t>2016 Census</t>
  </si>
  <si>
    <t>Still Alive</t>
  </si>
  <si>
    <t>SP1</t>
  </si>
  <si>
    <t>SP2</t>
  </si>
  <si>
    <t>SP3</t>
  </si>
  <si>
    <t>SP4</t>
  </si>
  <si>
    <t>SP5</t>
  </si>
  <si>
    <t>SP6</t>
  </si>
  <si>
    <t>SP7</t>
  </si>
  <si>
    <t>SP8</t>
  </si>
  <si>
    <t>SP9</t>
  </si>
  <si>
    <t>SP10</t>
  </si>
  <si>
    <t>SP11</t>
  </si>
  <si>
    <t>SP12</t>
  </si>
  <si>
    <t>SP13</t>
  </si>
  <si>
    <t>SP14</t>
  </si>
  <si>
    <t>SP15</t>
  </si>
  <si>
    <t>SP16</t>
  </si>
  <si>
    <t>2003 Census</t>
  </si>
  <si>
    <t>2006 Census</t>
  </si>
  <si>
    <t>2008 Census</t>
  </si>
  <si>
    <t>2013 Census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</si>
</sst>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3" tint="0.499984740745262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  <xf numFmtId="14" fontId="0" fillId="3" borderId="0" xfId="0" applyNumberFormat="1" applyFill="1" applyAlignment="1">
      <alignment horizontal="center" vertical="center"/>
    </xf>
    <xf numFmtId="14" fontId="0" fillId="4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6" xfId="0" applyFont="1" applyBorder="1"/>
    <xf numFmtId="0" fontId="2" fillId="0" borderId="1" xfId="0" applyFont="1" applyBorder="1"/>
    <xf numFmtId="0" fontId="2" fillId="0" borderId="7" xfId="0" applyFont="1" applyBorder="1"/>
    <xf numFmtId="0" fontId="3" fillId="0" borderId="0" xfId="0" applyFont="1"/>
    <xf numFmtId="0" fontId="2" fillId="0" borderId="8" xfId="0" applyFont="1" applyBorder="1"/>
    <xf numFmtId="0" fontId="3" fillId="0" borderId="4" xfId="0" applyFont="1" applyBorder="1"/>
    <xf numFmtId="0" fontId="1" fillId="0" borderId="9" xfId="0" applyFont="1" applyBorder="1" applyAlignment="1">
      <alignment horizontal="center"/>
    </xf>
    <xf numFmtId="0" fontId="0" fillId="0" borderId="9" xfId="0" applyBorder="1" applyAlignment="1">
      <alignment horizontal="center"/>
    </xf>
    <xf numFmtId="1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/>
    </xf>
    <xf numFmtId="2" fontId="0" fillId="0" borderId="9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4" borderId="0" xfId="0" applyFill="1" applyAlignment="1">
      <alignment horizontal="center" vertical="center"/>
    </xf>
    <xf numFmtId="14" fontId="0" fillId="2" borderId="3" xfId="0" applyNumberFormat="1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2" fillId="0" borderId="10" xfId="0" applyFont="1" applyBorder="1"/>
    <xf numFmtId="0" fontId="2" fillId="0" borderId="11" xfId="0" applyFont="1" applyBorder="1"/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Working%20Copies/Species_ERT_Workbook_7-1-26.xlsx" TargetMode="External"/><Relationship Id="rId2" Type="http://schemas.openxmlformats.org/officeDocument/2006/relationships/externalLinkPath" Target="file:///C:\Users\jgasink\Desktop\ERT%20Project\Working%20Copies\Species_ERT_Workbook_7-1-26.xlsx" TargetMode="External"/><Relationship Id="rId1" Type="http://schemas.openxmlformats.org/officeDocument/2006/relationships/externalLinkPath" Target="/Users/jgasink/Desktop/ERT%20Project/Working%20Copies/Species_ERT_Workbook_7-1-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UMMARY"/>
      <sheetName val="Atlantic Needlefish"/>
      <sheetName val="Atlantic Spadefish"/>
      <sheetName val="Balloonfish"/>
      <sheetName val="Banded Butterflyfish"/>
      <sheetName val="Bar Jack"/>
      <sheetName val="Barracuda"/>
      <sheetName val="Blackbar Soldierfish"/>
      <sheetName val="Black Durgeon"/>
      <sheetName val="Blackfin Snapper"/>
      <sheetName val="Blue Angelfish"/>
      <sheetName val="Blue Parrot"/>
      <sheetName val="Blue Tang"/>
      <sheetName val="Blue Runner"/>
      <sheetName val="Bluestripe Grunt"/>
      <sheetName val="Buffalo Trunkfish"/>
      <sheetName val="Caesar Grunt"/>
      <sheetName val="Coney"/>
      <sheetName val="Crevalle Jack"/>
      <sheetName val="Doctorfish"/>
      <sheetName val="Dog Snapper"/>
      <sheetName val="Flat Needlefish"/>
      <sheetName val="Florida Pompano"/>
      <sheetName val="Foureye Butterflyfish"/>
      <sheetName val="French Angel"/>
      <sheetName val="French Grunt"/>
      <sheetName val="Gag Grouper"/>
      <sheetName val="Graysby"/>
      <sheetName val="Green Moray"/>
      <sheetName val="Grey Angel"/>
      <sheetName val="Grey Snapper"/>
      <sheetName val="Grey Trigger"/>
      <sheetName val="Hogfish"/>
      <sheetName val="Honeycomb Cowfish"/>
      <sheetName val="Jolthead Porgy"/>
      <sheetName val="Lane Snapper"/>
      <sheetName val="Lookdown"/>
      <sheetName val="Mahogany Snapper"/>
      <sheetName val="Mutton Snapper"/>
      <sheetName val="Midnight Parrotfish"/>
      <sheetName val="Nassau Grouper"/>
      <sheetName val="Ocean Surgeon"/>
      <sheetName val="Ocean Trigger"/>
      <sheetName val="Orangespotted Filefish"/>
      <sheetName val="Palometa"/>
      <sheetName val="Permit"/>
      <sheetName val="Planehead Filefish"/>
      <sheetName val="Porcupinefish"/>
      <sheetName val="Queen Angelfish"/>
      <sheetName val="Queen Parrotfish"/>
      <sheetName val="Queen Trigger"/>
      <sheetName val="Rainbow Parrotfish"/>
      <sheetName val="Reef Butterflyfish"/>
      <sheetName val="Red Grouper"/>
      <sheetName val="Red Hind"/>
      <sheetName val="Redtail Parrotfish"/>
      <sheetName val="Rock Hind"/>
      <sheetName val="Sargassum Trigger"/>
      <sheetName val="Saucereye Porgy"/>
      <sheetName val="Schoolmaster"/>
      <sheetName val="Scrawled Cowfish"/>
      <sheetName val="Scrawled Filefish"/>
      <sheetName val="Sheepshead Porgy"/>
      <sheetName val="Smooth Trunkfish"/>
      <sheetName val="Snowy Grouper"/>
      <sheetName val="Southern Stingray"/>
      <sheetName val="Spanish Hogfish"/>
      <sheetName val="Speckled Hind"/>
      <sheetName val="Spotfin Burrfish"/>
      <sheetName val="Spotfin Butterflyfish"/>
      <sheetName val="Spotfin Hogfish"/>
      <sheetName val="Spotted Moray"/>
      <sheetName val="Spotted Trunkfish"/>
      <sheetName val="Striped Burrfish"/>
      <sheetName val="Stoplight Parrot"/>
      <sheetName val="Striped Parrotfish"/>
      <sheetName val="Tomtate"/>
      <sheetName val="Tripletail"/>
      <sheetName val="Vermilion Snapper"/>
      <sheetName val="Web Burrfish"/>
      <sheetName val="White Grunt"/>
      <sheetName val="Whitespotted Filefish"/>
      <sheetName val="Yellow Jack"/>
      <sheetName val="Yellowhead Wrasse"/>
      <sheetName val="Yellowtail Parrotfish"/>
      <sheetName val="Yellowtail Snapp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Joey Gasink" id="{CDFC277D-5E24-4441-AFBE-E4A502B71659}" userId="S::jgasink@aza.org::4e4543ad-48a6-4bb0-b647-81c99107a98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34" dT="2026-06-16T12:54:16.71" personId="{CDFC277D-5E24-4441-AFBE-E4A502B71659}" id="{013C0EDD-B1C6-4B5D-BE65-47810383556E}">
    <text>Likely an undercount of one individual who was found and counted in 2007</text>
  </threadedComment>
  <threadedComment ref="B37" dT="2026-06-16T12:57:46.94" personId="{CDFC277D-5E24-4441-AFBE-E4A502B71659}" id="{B95AD913-6C1C-48F9-9B6F-2F5E4110ECC9}">
    <text>Undercount of 1 surviving individual in 2008 and 2009. No additions in 2010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3A129-6497-43C8-8E9E-EFE07FC7E723}">
  <dimension ref="A1:H55"/>
  <sheetViews>
    <sheetView topLeftCell="A35" workbookViewId="0">
      <selection activeCell="H50" sqref="H50"/>
    </sheetView>
  </sheetViews>
  <sheetFormatPr defaultRowHeight="14.5" x14ac:dyDescent="0.35"/>
  <cols>
    <col min="1" max="1" width="10.453125" bestFit="1" customWidth="1"/>
    <col min="2" max="2" width="9.453125" bestFit="1" customWidth="1"/>
    <col min="5" max="5" width="11.26953125" bestFit="1" customWidth="1"/>
    <col min="6" max="6" width="9.08984375" bestFit="1" customWidth="1"/>
  </cols>
  <sheetData>
    <row r="1" spans="1:8" ht="15" thickBot="1" x14ac:dyDescent="0.4">
      <c r="A1" s="13" t="s">
        <v>7</v>
      </c>
      <c r="B1" s="14" t="s">
        <v>8</v>
      </c>
      <c r="C1" s="14" t="s">
        <v>9</v>
      </c>
      <c r="D1" s="14" t="s">
        <v>10</v>
      </c>
      <c r="E1" s="1" t="s">
        <v>0</v>
      </c>
      <c r="F1" s="1" t="s">
        <v>1</v>
      </c>
      <c r="G1" s="1" t="s">
        <v>2</v>
      </c>
      <c r="H1" s="2" t="s">
        <v>3</v>
      </c>
    </row>
    <row r="2" spans="1:8" x14ac:dyDescent="0.35">
      <c r="A2" s="15">
        <v>2000</v>
      </c>
      <c r="B2" s="16">
        <v>0</v>
      </c>
      <c r="C2" s="16"/>
      <c r="D2" s="16">
        <v>0</v>
      </c>
      <c r="E2" s="3"/>
      <c r="F2" s="3"/>
      <c r="G2" s="3"/>
      <c r="H2" s="4"/>
    </row>
    <row r="3" spans="1:8" x14ac:dyDescent="0.35">
      <c r="A3" s="15">
        <v>2001</v>
      </c>
      <c r="B3" s="16">
        <v>0</v>
      </c>
      <c r="C3" s="16"/>
      <c r="D3" s="16">
        <v>0</v>
      </c>
      <c r="E3" s="3"/>
      <c r="F3" s="3"/>
      <c r="G3" s="3"/>
      <c r="H3" s="4"/>
    </row>
    <row r="4" spans="1:8" x14ac:dyDescent="0.35">
      <c r="A4" s="15">
        <v>2002</v>
      </c>
      <c r="B4" s="16">
        <v>0</v>
      </c>
      <c r="C4" s="16"/>
      <c r="D4" s="16">
        <v>0</v>
      </c>
      <c r="E4" s="3"/>
      <c r="F4" s="3"/>
      <c r="G4" s="3"/>
      <c r="H4" s="4"/>
    </row>
    <row r="5" spans="1:8" x14ac:dyDescent="0.35">
      <c r="A5" s="15">
        <v>2003</v>
      </c>
      <c r="B5" s="16">
        <v>0</v>
      </c>
      <c r="C5" s="16"/>
      <c r="D5" s="16">
        <v>0</v>
      </c>
      <c r="E5" s="3"/>
      <c r="F5" s="3"/>
      <c r="G5" s="3"/>
      <c r="H5" s="4"/>
    </row>
    <row r="6" spans="1:8" x14ac:dyDescent="0.35">
      <c r="A6" s="15">
        <v>2004</v>
      </c>
      <c r="B6" s="16">
        <v>0</v>
      </c>
      <c r="C6" s="16"/>
      <c r="D6" s="16">
        <v>0</v>
      </c>
      <c r="E6" s="3"/>
      <c r="F6" s="3"/>
      <c r="G6" s="3"/>
      <c r="H6" s="4"/>
    </row>
    <row r="7" spans="1:8" x14ac:dyDescent="0.35">
      <c r="A7" s="15">
        <v>2005</v>
      </c>
      <c r="B7" s="16">
        <v>0</v>
      </c>
      <c r="C7" s="16"/>
      <c r="D7" s="16">
        <v>0</v>
      </c>
      <c r="E7" s="3"/>
      <c r="F7" s="3"/>
      <c r="G7" s="3"/>
      <c r="H7" s="4"/>
    </row>
    <row r="8" spans="1:8" x14ac:dyDescent="0.35">
      <c r="A8" s="15">
        <v>2006</v>
      </c>
      <c r="B8" s="16">
        <v>0</v>
      </c>
      <c r="C8" s="16"/>
      <c r="D8" s="16">
        <v>0</v>
      </c>
      <c r="E8" s="3"/>
      <c r="F8" s="3"/>
      <c r="G8" s="3"/>
      <c r="H8" s="4"/>
    </row>
    <row r="9" spans="1:8" x14ac:dyDescent="0.35">
      <c r="A9" s="15">
        <v>2007</v>
      </c>
      <c r="B9" s="16">
        <v>0</v>
      </c>
      <c r="C9" s="16"/>
      <c r="D9" s="16">
        <v>0</v>
      </c>
      <c r="E9" s="3"/>
      <c r="F9" s="3"/>
      <c r="G9" s="3"/>
      <c r="H9" s="4"/>
    </row>
    <row r="10" spans="1:8" x14ac:dyDescent="0.35">
      <c r="A10" s="15">
        <v>2008</v>
      </c>
      <c r="B10" s="16">
        <v>2</v>
      </c>
      <c r="C10" s="16"/>
      <c r="D10" s="16">
        <v>2</v>
      </c>
      <c r="E10" s="5">
        <v>39813</v>
      </c>
      <c r="F10" s="6">
        <v>39468</v>
      </c>
      <c r="G10" s="3"/>
      <c r="H10" s="4"/>
    </row>
    <row r="11" spans="1:8" x14ac:dyDescent="0.35">
      <c r="A11" s="15">
        <v>2009</v>
      </c>
      <c r="B11" s="16">
        <v>1</v>
      </c>
      <c r="C11" s="16"/>
      <c r="D11" s="16">
        <v>1</v>
      </c>
      <c r="E11" s="7" t="s">
        <v>6</v>
      </c>
      <c r="F11" s="8"/>
      <c r="G11" s="3"/>
      <c r="H11" s="4"/>
    </row>
    <row r="12" spans="1:8" x14ac:dyDescent="0.35">
      <c r="A12" s="15">
        <v>2010</v>
      </c>
      <c r="B12" s="16">
        <v>0</v>
      </c>
      <c r="C12" s="16"/>
      <c r="D12" s="16">
        <v>0</v>
      </c>
      <c r="E12" s="3"/>
      <c r="F12" s="7">
        <v>40360</v>
      </c>
      <c r="G12" s="3"/>
      <c r="H12" s="4"/>
    </row>
    <row r="13" spans="1:8" x14ac:dyDescent="0.35">
      <c r="A13" s="15">
        <v>2011</v>
      </c>
      <c r="B13" s="16">
        <v>0</v>
      </c>
      <c r="C13" s="16"/>
      <c r="D13" s="16">
        <v>0</v>
      </c>
      <c r="E13" s="3"/>
      <c r="F13" s="3"/>
      <c r="G13" s="3"/>
      <c r="H13" s="4"/>
    </row>
    <row r="14" spans="1:8" x14ac:dyDescent="0.35">
      <c r="A14" s="15">
        <v>2012</v>
      </c>
      <c r="B14" s="16">
        <v>0</v>
      </c>
      <c r="C14" s="16"/>
      <c r="D14" s="16">
        <v>0</v>
      </c>
      <c r="E14" s="3"/>
      <c r="F14" s="3"/>
      <c r="G14" s="3"/>
      <c r="H14" s="4"/>
    </row>
    <row r="15" spans="1:8" x14ac:dyDescent="0.35">
      <c r="A15" s="15">
        <v>2013</v>
      </c>
      <c r="B15" s="16">
        <v>0</v>
      </c>
      <c r="C15" s="16"/>
      <c r="D15" s="16">
        <v>0</v>
      </c>
      <c r="E15" s="3"/>
      <c r="F15" s="3"/>
      <c r="G15" s="3"/>
      <c r="H15" s="4"/>
    </row>
    <row r="16" spans="1:8" x14ac:dyDescent="0.35">
      <c r="A16" s="15">
        <v>2014</v>
      </c>
      <c r="B16" s="16">
        <v>0</v>
      </c>
      <c r="C16" s="16"/>
      <c r="D16" s="16">
        <v>0</v>
      </c>
      <c r="E16" s="3"/>
      <c r="F16" s="3"/>
      <c r="G16" s="3"/>
      <c r="H16" s="4"/>
    </row>
    <row r="17" spans="1:8" x14ac:dyDescent="0.35">
      <c r="A17" s="15">
        <v>2015</v>
      </c>
      <c r="B17" s="16">
        <v>1</v>
      </c>
      <c r="C17" s="16"/>
      <c r="D17" s="16">
        <v>2</v>
      </c>
      <c r="E17" s="3"/>
      <c r="F17" s="3"/>
      <c r="G17" s="5">
        <v>42040</v>
      </c>
      <c r="H17" s="9" t="s">
        <v>4</v>
      </c>
    </row>
    <row r="18" spans="1:8" x14ac:dyDescent="0.35">
      <c r="A18" s="15">
        <v>2016</v>
      </c>
      <c r="B18" s="16">
        <v>1</v>
      </c>
      <c r="C18" s="16"/>
      <c r="D18" s="16">
        <v>1</v>
      </c>
      <c r="E18" s="3"/>
      <c r="F18" s="3"/>
      <c r="G18" s="7">
        <v>42435</v>
      </c>
      <c r="H18" s="9"/>
    </row>
    <row r="19" spans="1:8" x14ac:dyDescent="0.35">
      <c r="A19" s="15">
        <v>2017</v>
      </c>
      <c r="B19" s="16">
        <v>1</v>
      </c>
      <c r="C19" s="16"/>
      <c r="D19" s="16">
        <v>1</v>
      </c>
      <c r="E19" s="3"/>
      <c r="F19" s="3"/>
      <c r="G19" s="3"/>
      <c r="H19" s="9"/>
    </row>
    <row r="20" spans="1:8" x14ac:dyDescent="0.35">
      <c r="A20" s="15">
        <v>2018</v>
      </c>
      <c r="B20" s="16">
        <v>1</v>
      </c>
      <c r="C20" s="16">
        <v>1</v>
      </c>
      <c r="D20" s="16">
        <v>1</v>
      </c>
      <c r="E20" s="3"/>
      <c r="F20" s="3"/>
      <c r="G20" s="3"/>
      <c r="H20" s="9"/>
    </row>
    <row r="21" spans="1:8" x14ac:dyDescent="0.35">
      <c r="A21" s="15">
        <v>2019</v>
      </c>
      <c r="B21" s="16">
        <v>0</v>
      </c>
      <c r="C21" s="16" t="s">
        <v>11</v>
      </c>
      <c r="D21" s="16">
        <v>0</v>
      </c>
      <c r="E21" s="3"/>
      <c r="F21" s="3"/>
      <c r="G21" s="3"/>
      <c r="H21" s="10" t="s">
        <v>5</v>
      </c>
    </row>
    <row r="22" spans="1:8" x14ac:dyDescent="0.35">
      <c r="A22" s="15">
        <v>2020</v>
      </c>
      <c r="B22" s="16">
        <v>0</v>
      </c>
      <c r="C22" s="16"/>
      <c r="D22" s="16">
        <v>0</v>
      </c>
      <c r="E22" s="3"/>
      <c r="F22" s="3"/>
      <c r="G22" s="3"/>
      <c r="H22" s="4"/>
    </row>
    <row r="23" spans="1:8" x14ac:dyDescent="0.35">
      <c r="A23" s="15">
        <v>2021</v>
      </c>
      <c r="B23" s="16">
        <v>0</v>
      </c>
      <c r="C23" s="16"/>
      <c r="D23" s="16">
        <v>0</v>
      </c>
      <c r="E23" s="3"/>
      <c r="F23" s="3"/>
      <c r="G23" s="3"/>
      <c r="H23" s="4"/>
    </row>
    <row r="24" spans="1:8" x14ac:dyDescent="0.35">
      <c r="A24" s="15">
        <v>2022</v>
      </c>
      <c r="B24" s="16">
        <v>0</v>
      </c>
      <c r="C24" s="16"/>
      <c r="D24" s="16">
        <v>0</v>
      </c>
      <c r="E24" s="3"/>
      <c r="F24" s="3"/>
      <c r="G24" s="3"/>
      <c r="H24" s="4"/>
    </row>
    <row r="25" spans="1:8" x14ac:dyDescent="0.35">
      <c r="A25" s="15">
        <v>2023</v>
      </c>
      <c r="B25" s="16">
        <v>0</v>
      </c>
      <c r="C25" s="16"/>
      <c r="D25" s="16">
        <v>0</v>
      </c>
      <c r="E25" s="3"/>
      <c r="F25" s="3"/>
      <c r="G25" s="3"/>
      <c r="H25" s="4"/>
    </row>
    <row r="26" spans="1:8" ht="15" thickBot="1" x14ac:dyDescent="0.4">
      <c r="A26" s="17">
        <v>2024</v>
      </c>
      <c r="B26" s="18">
        <v>0</v>
      </c>
      <c r="C26" s="18"/>
      <c r="D26" s="18">
        <v>0</v>
      </c>
      <c r="E26" s="11"/>
      <c r="F26" s="11"/>
      <c r="G26" s="11"/>
      <c r="H26" s="12"/>
    </row>
    <row r="30" spans="1:8" ht="15" thickBot="1" x14ac:dyDescent="0.4">
      <c r="A30" s="13" t="s">
        <v>7</v>
      </c>
      <c r="B30" s="14" t="s">
        <v>8</v>
      </c>
      <c r="C30" s="14" t="s">
        <v>9</v>
      </c>
      <c r="D30" s="14" t="s">
        <v>10</v>
      </c>
      <c r="E30" s="1" t="s">
        <v>0</v>
      </c>
      <c r="F30" s="1" t="s">
        <v>1</v>
      </c>
      <c r="G30" s="1" t="s">
        <v>2</v>
      </c>
      <c r="H30" s="2" t="s">
        <v>3</v>
      </c>
    </row>
    <row r="31" spans="1:8" x14ac:dyDescent="0.35">
      <c r="A31" s="15">
        <v>2000</v>
      </c>
      <c r="B31" s="16">
        <v>0</v>
      </c>
      <c r="C31" s="16"/>
      <c r="D31" s="16">
        <v>0</v>
      </c>
      <c r="E31" s="3"/>
      <c r="F31" s="3"/>
      <c r="G31" s="3"/>
      <c r="H31" s="4"/>
    </row>
    <row r="32" spans="1:8" x14ac:dyDescent="0.35">
      <c r="A32" s="15">
        <v>2001</v>
      </c>
      <c r="B32" s="16">
        <v>0</v>
      </c>
      <c r="C32" s="16"/>
      <c r="D32" s="16">
        <v>0</v>
      </c>
      <c r="E32" s="3"/>
      <c r="F32" s="3"/>
      <c r="G32" s="3"/>
      <c r="H32" s="4"/>
    </row>
    <row r="33" spans="1:8" x14ac:dyDescent="0.35">
      <c r="A33" s="15">
        <v>2002</v>
      </c>
      <c r="B33" s="16">
        <v>0</v>
      </c>
      <c r="C33" s="16"/>
      <c r="D33" s="16">
        <v>0</v>
      </c>
      <c r="E33" s="3"/>
      <c r="F33" s="3"/>
      <c r="G33" s="3"/>
      <c r="H33" s="4"/>
    </row>
    <row r="34" spans="1:8" x14ac:dyDescent="0.35">
      <c r="A34" s="15">
        <v>2003</v>
      </c>
      <c r="B34" s="16">
        <v>0</v>
      </c>
      <c r="C34" s="16"/>
      <c r="D34" s="16">
        <v>0</v>
      </c>
      <c r="E34" s="3"/>
      <c r="F34" s="3"/>
      <c r="G34" s="3"/>
      <c r="H34" s="4"/>
    </row>
    <row r="35" spans="1:8" x14ac:dyDescent="0.35">
      <c r="A35" s="15">
        <v>2004</v>
      </c>
      <c r="B35" s="16">
        <v>0</v>
      </c>
      <c r="C35" s="16"/>
      <c r="D35" s="16">
        <v>0</v>
      </c>
      <c r="E35" s="3"/>
      <c r="F35" s="3"/>
      <c r="G35" s="3"/>
      <c r="H35" s="4"/>
    </row>
    <row r="36" spans="1:8" x14ac:dyDescent="0.35">
      <c r="A36" s="15">
        <v>2005</v>
      </c>
      <c r="B36" s="16">
        <v>0</v>
      </c>
      <c r="C36" s="16"/>
      <c r="D36" s="16">
        <v>0</v>
      </c>
      <c r="E36" s="3"/>
      <c r="F36" s="3"/>
      <c r="G36" s="3"/>
      <c r="H36" s="4"/>
    </row>
    <row r="37" spans="1:8" x14ac:dyDescent="0.35">
      <c r="A37" s="15">
        <v>2006</v>
      </c>
      <c r="B37" s="16">
        <v>0</v>
      </c>
      <c r="C37" s="16"/>
      <c r="D37" s="16">
        <v>0</v>
      </c>
      <c r="E37" s="3"/>
      <c r="F37" s="3"/>
      <c r="G37" s="3"/>
      <c r="H37" s="4"/>
    </row>
    <row r="38" spans="1:8" x14ac:dyDescent="0.35">
      <c r="A38" s="15">
        <v>2007</v>
      </c>
      <c r="B38" s="16">
        <v>0</v>
      </c>
      <c r="C38" s="16"/>
      <c r="D38" s="16">
        <v>0</v>
      </c>
      <c r="E38" s="3"/>
      <c r="F38" s="3"/>
      <c r="G38" s="3"/>
      <c r="H38" s="4"/>
    </row>
    <row r="39" spans="1:8" x14ac:dyDescent="0.35">
      <c r="A39" s="15">
        <v>2008</v>
      </c>
      <c r="B39" s="16">
        <v>2</v>
      </c>
      <c r="C39" s="16"/>
      <c r="D39" s="16">
        <v>2</v>
      </c>
      <c r="E39" s="5">
        <v>39813</v>
      </c>
      <c r="F39" s="6">
        <v>39468</v>
      </c>
      <c r="G39" s="3"/>
      <c r="H39" s="4"/>
    </row>
    <row r="40" spans="1:8" x14ac:dyDescent="0.35">
      <c r="A40" s="15">
        <v>2009</v>
      </c>
      <c r="B40" s="16">
        <v>1</v>
      </c>
      <c r="C40" s="16"/>
      <c r="D40" s="16">
        <v>1</v>
      </c>
      <c r="E40" s="7" t="s">
        <v>6</v>
      </c>
      <c r="F40" s="8"/>
      <c r="G40" s="3"/>
      <c r="H40" s="4"/>
    </row>
    <row r="41" spans="1:8" x14ac:dyDescent="0.35">
      <c r="A41" s="15">
        <v>2010</v>
      </c>
      <c r="B41" s="16">
        <v>0</v>
      </c>
      <c r="C41" s="16"/>
      <c r="D41" s="16">
        <v>0</v>
      </c>
      <c r="E41" s="3"/>
      <c r="F41" s="7">
        <v>40360</v>
      </c>
      <c r="G41" s="3"/>
      <c r="H41" s="4"/>
    </row>
    <row r="42" spans="1:8" x14ac:dyDescent="0.35">
      <c r="A42" s="15">
        <v>2011</v>
      </c>
      <c r="B42" s="16">
        <v>0</v>
      </c>
      <c r="C42" s="16"/>
      <c r="D42" s="16">
        <v>0</v>
      </c>
      <c r="E42" s="3"/>
      <c r="F42" s="3"/>
      <c r="G42" s="3"/>
      <c r="H42" s="4"/>
    </row>
    <row r="43" spans="1:8" x14ac:dyDescent="0.35">
      <c r="A43" s="15">
        <v>2012</v>
      </c>
      <c r="B43" s="16">
        <v>0</v>
      </c>
      <c r="C43" s="16"/>
      <c r="D43" s="16">
        <v>0</v>
      </c>
      <c r="E43" s="3"/>
      <c r="F43" s="3"/>
      <c r="G43" s="3"/>
      <c r="H43" s="4"/>
    </row>
    <row r="44" spans="1:8" x14ac:dyDescent="0.35">
      <c r="A44" s="15">
        <v>2013</v>
      </c>
      <c r="B44" s="16">
        <v>0</v>
      </c>
      <c r="C44" s="16"/>
      <c r="D44" s="16">
        <v>0</v>
      </c>
      <c r="E44" s="3"/>
      <c r="F44" s="3"/>
      <c r="G44" s="3"/>
      <c r="H44" s="4"/>
    </row>
    <row r="45" spans="1:8" x14ac:dyDescent="0.35">
      <c r="A45" s="15">
        <v>2014</v>
      </c>
      <c r="B45" s="16">
        <v>0</v>
      </c>
      <c r="C45" s="16"/>
      <c r="D45" s="16">
        <v>0</v>
      </c>
      <c r="E45" s="3"/>
      <c r="F45" s="3"/>
      <c r="G45" s="3"/>
      <c r="H45" s="4"/>
    </row>
    <row r="46" spans="1:8" x14ac:dyDescent="0.35">
      <c r="A46" s="15">
        <v>2015</v>
      </c>
      <c r="B46" s="16">
        <v>1</v>
      </c>
      <c r="C46" s="16"/>
      <c r="D46" s="16">
        <v>2</v>
      </c>
      <c r="E46" s="3"/>
      <c r="F46" s="3"/>
      <c r="G46" s="5">
        <v>42040</v>
      </c>
      <c r="H46" s="9" t="s">
        <v>4</v>
      </c>
    </row>
    <row r="47" spans="1:8" x14ac:dyDescent="0.35">
      <c r="A47" s="15">
        <v>2016</v>
      </c>
      <c r="B47" s="16">
        <v>1</v>
      </c>
      <c r="C47" s="16"/>
      <c r="D47" s="16">
        <v>1</v>
      </c>
      <c r="E47" s="3"/>
      <c r="F47" s="3"/>
      <c r="G47" s="7">
        <v>42435</v>
      </c>
      <c r="H47" s="9"/>
    </row>
    <row r="48" spans="1:8" x14ac:dyDescent="0.35">
      <c r="A48" s="15">
        <v>2017</v>
      </c>
      <c r="B48" s="16">
        <v>1</v>
      </c>
      <c r="C48" s="16"/>
      <c r="D48" s="16">
        <v>1</v>
      </c>
      <c r="E48" s="3"/>
      <c r="F48" s="3"/>
      <c r="G48" s="3"/>
      <c r="H48" s="9"/>
    </row>
    <row r="49" spans="1:8" x14ac:dyDescent="0.35">
      <c r="A49" s="15">
        <v>2018</v>
      </c>
      <c r="B49" s="16">
        <v>1</v>
      </c>
      <c r="C49" s="16">
        <v>1</v>
      </c>
      <c r="D49" s="16">
        <v>1</v>
      </c>
      <c r="E49" s="3"/>
      <c r="F49" s="3"/>
      <c r="G49" s="3"/>
      <c r="H49" s="9"/>
    </row>
    <row r="50" spans="1:8" x14ac:dyDescent="0.35">
      <c r="A50" s="15">
        <v>2019</v>
      </c>
      <c r="B50" s="16">
        <v>0</v>
      </c>
      <c r="C50" s="16" t="s">
        <v>11</v>
      </c>
      <c r="D50" s="16">
        <v>0</v>
      </c>
      <c r="E50" s="3"/>
      <c r="F50" s="3"/>
      <c r="G50" s="3"/>
      <c r="H50" s="10" t="s">
        <v>5</v>
      </c>
    </row>
    <row r="51" spans="1:8" x14ac:dyDescent="0.35">
      <c r="A51" s="15">
        <v>2020</v>
      </c>
      <c r="B51" s="16">
        <v>0</v>
      </c>
      <c r="C51" s="16"/>
      <c r="D51" s="16">
        <v>0</v>
      </c>
      <c r="E51" s="3"/>
      <c r="F51" s="3"/>
      <c r="G51" s="3"/>
      <c r="H51" s="4"/>
    </row>
    <row r="52" spans="1:8" x14ac:dyDescent="0.35">
      <c r="A52" s="15">
        <v>2021</v>
      </c>
      <c r="B52" s="16">
        <v>0</v>
      </c>
      <c r="C52" s="16"/>
      <c r="D52" s="16">
        <v>0</v>
      </c>
      <c r="E52" s="3"/>
      <c r="F52" s="3"/>
      <c r="G52" s="3"/>
      <c r="H52" s="4"/>
    </row>
    <row r="53" spans="1:8" x14ac:dyDescent="0.35">
      <c r="A53" s="15">
        <v>2022</v>
      </c>
      <c r="B53" s="16">
        <v>0</v>
      </c>
      <c r="C53" s="16"/>
      <c r="D53" s="16">
        <v>0</v>
      </c>
      <c r="E53" s="3"/>
      <c r="F53" s="3"/>
      <c r="G53" s="3"/>
      <c r="H53" s="4"/>
    </row>
    <row r="54" spans="1:8" x14ac:dyDescent="0.35">
      <c r="A54" s="15">
        <v>2023</v>
      </c>
      <c r="B54" s="16">
        <v>0</v>
      </c>
      <c r="C54" s="16"/>
      <c r="D54" s="16">
        <v>0</v>
      </c>
      <c r="E54" s="3"/>
      <c r="F54" s="3"/>
      <c r="G54" s="3"/>
      <c r="H54" s="4"/>
    </row>
    <row r="55" spans="1:8" ht="15" thickBot="1" x14ac:dyDescent="0.4">
      <c r="A55" s="17">
        <v>2024</v>
      </c>
      <c r="B55" s="18">
        <v>0</v>
      </c>
      <c r="C55" s="18"/>
      <c r="D55" s="18">
        <v>0</v>
      </c>
      <c r="E55" s="11"/>
      <c r="F55" s="11"/>
      <c r="G55" s="11"/>
      <c r="H55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35ADF-719D-4D5C-B609-C833C632EA36}">
  <dimension ref="A23:L62"/>
  <sheetViews>
    <sheetView topLeftCell="A48" workbookViewId="0">
      <selection activeCell="L62" sqref="L62"/>
    </sheetView>
  </sheetViews>
  <sheetFormatPr defaultRowHeight="14.5" x14ac:dyDescent="0.35"/>
  <cols>
    <col min="10" max="10" width="11.26953125" bestFit="1" customWidth="1"/>
  </cols>
  <sheetData>
    <row r="23" spans="1:12" x14ac:dyDescent="0.35">
      <c r="A23" s="19" t="s">
        <v>12</v>
      </c>
      <c r="B23" s="20">
        <f>COUNT(B$6,C$7,D$8,E$10,F$13,G$23)</f>
        <v>0</v>
      </c>
      <c r="C23" s="3"/>
      <c r="D23" s="3"/>
      <c r="E23" s="3"/>
      <c r="F23" s="3"/>
      <c r="G23" s="21" t="e">
        <f>[1]SUMMARY!#REF!</f>
        <v>#REF!</v>
      </c>
      <c r="H23" s="3"/>
      <c r="I23" s="3"/>
      <c r="J23" s="3"/>
      <c r="K23" s="3"/>
      <c r="L23" s="3"/>
    </row>
    <row r="24" spans="1:12" x14ac:dyDescent="0.35">
      <c r="A24" s="22" t="s">
        <v>13</v>
      </c>
      <c r="B24" s="23" t="e">
        <f>MEDIAN(B$6,C$7,D$8,E$10,F$13,G$23)</f>
        <v>#REF!</v>
      </c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 x14ac:dyDescent="0.35">
      <c r="A25" s="19" t="s">
        <v>14</v>
      </c>
      <c r="B25" s="23" t="e">
        <f>AVERAGE(B$6,C$7,D$8,E$10,F$13,G$23)</f>
        <v>#REF!</v>
      </c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 x14ac:dyDescent="0.35">
      <c r="A26" s="19" t="s">
        <v>15</v>
      </c>
      <c r="B26" s="23" t="e">
        <f>MAX(B$6,C$7,D$8,E$10,F$13,G$23)</f>
        <v>#REF!</v>
      </c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 x14ac:dyDescent="0.35">
      <c r="A27" s="24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 x14ac:dyDescent="0.35">
      <c r="A28" s="24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 x14ac:dyDescent="0.35">
      <c r="A29" s="24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 x14ac:dyDescent="0.35">
      <c r="A30" s="24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 x14ac:dyDescent="0.35">
      <c r="A31" s="24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 x14ac:dyDescent="0.35">
      <c r="A32" s="24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 ht="15" thickBot="1" x14ac:dyDescent="0.4">
      <c r="A33" s="13" t="s">
        <v>7</v>
      </c>
      <c r="B33" s="14" t="s">
        <v>8</v>
      </c>
      <c r="C33" s="14" t="s">
        <v>9</v>
      </c>
      <c r="D33" s="14" t="s">
        <v>10</v>
      </c>
      <c r="E33" s="1" t="s">
        <v>16</v>
      </c>
      <c r="F33" s="1" t="s">
        <v>17</v>
      </c>
      <c r="G33" s="1" t="s">
        <v>18</v>
      </c>
      <c r="H33" s="1" t="s">
        <v>19</v>
      </c>
      <c r="I33" s="1" t="s">
        <v>20</v>
      </c>
      <c r="J33" s="1" t="s">
        <v>21</v>
      </c>
      <c r="K33" s="1" t="s">
        <v>22</v>
      </c>
      <c r="L33" s="2" t="s">
        <v>23</v>
      </c>
    </row>
    <row r="34" spans="1:12" x14ac:dyDescent="0.35">
      <c r="A34" s="15">
        <v>2000</v>
      </c>
      <c r="B34" s="16">
        <v>0</v>
      </c>
      <c r="C34" s="16"/>
      <c r="D34" s="16"/>
      <c r="E34" s="3"/>
      <c r="F34" s="3"/>
      <c r="G34" s="3"/>
      <c r="H34" s="3"/>
      <c r="I34" s="3"/>
      <c r="J34" s="3"/>
      <c r="K34" s="3"/>
      <c r="L34" s="4"/>
    </row>
    <row r="35" spans="1:12" x14ac:dyDescent="0.35">
      <c r="A35" s="15">
        <v>2001</v>
      </c>
      <c r="B35" s="16">
        <v>1</v>
      </c>
      <c r="C35" s="16"/>
      <c r="D35" s="16"/>
      <c r="E35" s="8" t="s">
        <v>24</v>
      </c>
      <c r="F35" s="3"/>
      <c r="G35" s="3"/>
      <c r="H35" s="3"/>
      <c r="I35" s="3"/>
      <c r="J35" s="3"/>
      <c r="K35" s="3"/>
      <c r="L35" s="4"/>
    </row>
    <row r="36" spans="1:12" x14ac:dyDescent="0.35">
      <c r="A36" s="15">
        <v>2002</v>
      </c>
      <c r="B36" s="16">
        <v>0</v>
      </c>
      <c r="C36" s="16"/>
      <c r="D36" s="16"/>
      <c r="E36" s="25" t="s">
        <v>25</v>
      </c>
      <c r="F36" s="3"/>
      <c r="G36" s="3"/>
      <c r="H36" s="3"/>
      <c r="I36" s="3"/>
      <c r="J36" s="3"/>
      <c r="K36" s="3"/>
      <c r="L36" s="4"/>
    </row>
    <row r="37" spans="1:12" x14ac:dyDescent="0.35">
      <c r="A37" s="15">
        <v>2003</v>
      </c>
      <c r="B37" s="16">
        <v>0</v>
      </c>
      <c r="C37" s="16"/>
      <c r="D37" s="16"/>
      <c r="E37" s="3"/>
      <c r="F37" s="3"/>
      <c r="G37" s="3"/>
      <c r="H37" s="3"/>
      <c r="I37" s="3"/>
      <c r="J37" s="3"/>
      <c r="K37" s="3"/>
      <c r="L37" s="4"/>
    </row>
    <row r="38" spans="1:12" x14ac:dyDescent="0.35">
      <c r="A38" s="15">
        <v>2004</v>
      </c>
      <c r="B38" s="16">
        <v>0</v>
      </c>
      <c r="C38" s="16"/>
      <c r="D38" s="16"/>
      <c r="E38" s="21"/>
      <c r="F38" s="3"/>
      <c r="G38" s="3"/>
      <c r="H38" s="3"/>
      <c r="I38" s="3"/>
      <c r="J38" s="3"/>
      <c r="K38" s="3"/>
      <c r="L38" s="4"/>
    </row>
    <row r="39" spans="1:12" x14ac:dyDescent="0.35">
      <c r="A39" s="15">
        <v>2005</v>
      </c>
      <c r="B39" s="16">
        <v>0</v>
      </c>
      <c r="C39" s="16"/>
      <c r="D39" s="16"/>
      <c r="E39" s="3"/>
      <c r="F39" s="5">
        <v>38541</v>
      </c>
      <c r="G39" s="5">
        <v>38541</v>
      </c>
      <c r="H39" s="3"/>
      <c r="I39" s="3"/>
      <c r="J39" s="3"/>
      <c r="K39" s="3"/>
      <c r="L39" s="4"/>
    </row>
    <row r="40" spans="1:12" x14ac:dyDescent="0.35">
      <c r="A40" s="15"/>
      <c r="B40" s="16"/>
      <c r="C40" s="16"/>
      <c r="D40" s="16"/>
      <c r="E40" s="3"/>
      <c r="F40" s="7">
        <v>38564</v>
      </c>
      <c r="G40" s="7">
        <v>38564</v>
      </c>
      <c r="H40" s="3"/>
      <c r="I40" s="3"/>
      <c r="J40" s="3"/>
      <c r="K40" s="3"/>
      <c r="L40" s="4"/>
    </row>
    <row r="41" spans="1:12" x14ac:dyDescent="0.35">
      <c r="A41" s="15">
        <v>2006</v>
      </c>
      <c r="B41" s="16">
        <v>0</v>
      </c>
      <c r="C41" s="16"/>
      <c r="D41" s="16"/>
      <c r="E41" s="3"/>
      <c r="F41" s="3"/>
      <c r="G41" s="3"/>
      <c r="H41" s="3"/>
      <c r="I41" s="3"/>
      <c r="J41" s="3"/>
      <c r="K41" s="3"/>
      <c r="L41" s="4"/>
    </row>
    <row r="42" spans="1:12" x14ac:dyDescent="0.35">
      <c r="A42" s="15">
        <v>2007</v>
      </c>
      <c r="B42" s="16">
        <v>0</v>
      </c>
      <c r="C42" s="16"/>
      <c r="D42" s="16"/>
      <c r="E42" s="3"/>
      <c r="F42" s="3"/>
      <c r="G42" s="3"/>
      <c r="H42" s="3"/>
      <c r="I42" s="3"/>
      <c r="J42" s="3"/>
      <c r="K42" s="3"/>
      <c r="L42" s="4"/>
    </row>
    <row r="43" spans="1:12" x14ac:dyDescent="0.35">
      <c r="A43" s="15">
        <v>2008</v>
      </c>
      <c r="B43" s="16">
        <v>0</v>
      </c>
      <c r="C43" s="16"/>
      <c r="D43" s="16"/>
      <c r="E43" s="3"/>
      <c r="F43" s="3"/>
      <c r="G43" s="3"/>
      <c r="H43" s="3"/>
      <c r="I43" s="3"/>
      <c r="J43" s="3"/>
      <c r="K43" s="3"/>
      <c r="L43" s="4"/>
    </row>
    <row r="44" spans="1:12" x14ac:dyDescent="0.35">
      <c r="A44" s="15">
        <v>2009</v>
      </c>
      <c r="B44" s="16">
        <v>0</v>
      </c>
      <c r="C44" s="16"/>
      <c r="D44" s="16"/>
      <c r="E44" s="3"/>
      <c r="F44" s="3"/>
      <c r="G44" s="3"/>
      <c r="H44" s="3"/>
      <c r="I44" s="3"/>
      <c r="J44" s="3"/>
      <c r="K44" s="3"/>
      <c r="L44" s="4"/>
    </row>
    <row r="45" spans="1:12" x14ac:dyDescent="0.35">
      <c r="A45" s="15">
        <v>2010</v>
      </c>
      <c r="B45" s="16">
        <v>0</v>
      </c>
      <c r="C45" s="16"/>
      <c r="D45" s="16"/>
      <c r="E45" s="3"/>
      <c r="F45" s="3"/>
      <c r="G45" s="3"/>
      <c r="H45" s="3"/>
      <c r="I45" s="3"/>
      <c r="J45" s="3"/>
      <c r="K45" s="3"/>
      <c r="L45" s="4"/>
    </row>
    <row r="46" spans="1:12" x14ac:dyDescent="0.35">
      <c r="A46" s="15">
        <v>2011</v>
      </c>
      <c r="B46" s="16">
        <v>0</v>
      </c>
      <c r="C46" s="16"/>
      <c r="D46" s="16"/>
      <c r="E46" s="3"/>
      <c r="F46" s="3"/>
      <c r="G46" s="3"/>
      <c r="H46" s="5">
        <v>40549</v>
      </c>
      <c r="I46" s="3"/>
      <c r="J46" s="3"/>
      <c r="K46" s="3"/>
      <c r="L46" s="4"/>
    </row>
    <row r="47" spans="1:12" x14ac:dyDescent="0.35">
      <c r="A47" s="15"/>
      <c r="B47" s="16"/>
      <c r="C47" s="16"/>
      <c r="D47" s="16"/>
      <c r="E47" s="3"/>
      <c r="F47" s="3"/>
      <c r="G47" s="3"/>
      <c r="H47" s="7" t="s">
        <v>26</v>
      </c>
      <c r="I47" s="3"/>
      <c r="J47" s="3"/>
      <c r="K47" s="3"/>
      <c r="L47" s="4"/>
    </row>
    <row r="48" spans="1:12" x14ac:dyDescent="0.35">
      <c r="A48" s="15">
        <v>2012</v>
      </c>
      <c r="B48" s="16">
        <v>0</v>
      </c>
      <c r="C48" s="16"/>
      <c r="D48" s="16"/>
      <c r="E48" s="3"/>
      <c r="F48" s="3"/>
      <c r="G48" s="3"/>
      <c r="H48" s="3"/>
      <c r="I48" s="3"/>
      <c r="J48" s="3"/>
      <c r="K48" s="3"/>
      <c r="L48" s="4"/>
    </row>
    <row r="49" spans="1:12" x14ac:dyDescent="0.35">
      <c r="A49" s="15">
        <v>2013</v>
      </c>
      <c r="B49" s="16">
        <v>0</v>
      </c>
      <c r="C49" s="16"/>
      <c r="D49" s="16"/>
      <c r="E49" s="3"/>
      <c r="F49" s="3"/>
      <c r="G49" s="3"/>
      <c r="H49" s="3"/>
      <c r="I49" s="3"/>
      <c r="J49" s="3"/>
      <c r="K49" s="3"/>
      <c r="L49" s="4"/>
    </row>
    <row r="50" spans="1:12" x14ac:dyDescent="0.35">
      <c r="A50" s="15">
        <v>2014</v>
      </c>
      <c r="B50" s="16">
        <v>0</v>
      </c>
      <c r="C50" s="16"/>
      <c r="D50" s="16"/>
      <c r="E50" s="3"/>
      <c r="F50" s="3"/>
      <c r="G50" s="3"/>
      <c r="H50" s="3"/>
      <c r="I50" s="5">
        <v>41793</v>
      </c>
      <c r="J50" s="3"/>
      <c r="K50" s="3"/>
      <c r="L50" s="4"/>
    </row>
    <row r="51" spans="1:12" x14ac:dyDescent="0.35">
      <c r="A51" s="15"/>
      <c r="B51" s="16"/>
      <c r="C51" s="16"/>
      <c r="D51" s="16"/>
      <c r="E51" s="3"/>
      <c r="F51" s="3"/>
      <c r="G51" s="3"/>
      <c r="H51" s="3"/>
      <c r="I51" s="7" t="s">
        <v>27</v>
      </c>
      <c r="J51" s="3"/>
      <c r="K51" s="3"/>
      <c r="L51" s="4"/>
    </row>
    <row r="52" spans="1:12" x14ac:dyDescent="0.35">
      <c r="A52" s="15">
        <v>2015</v>
      </c>
      <c r="B52" s="16">
        <v>2</v>
      </c>
      <c r="C52" s="16"/>
      <c r="D52" s="16"/>
      <c r="E52" s="3"/>
      <c r="F52" s="3"/>
      <c r="G52" s="3"/>
      <c r="H52" s="3"/>
      <c r="I52" s="3"/>
      <c r="J52" s="5">
        <v>42213</v>
      </c>
      <c r="K52" s="5">
        <v>42213</v>
      </c>
      <c r="L52" s="26">
        <v>42213</v>
      </c>
    </row>
    <row r="53" spans="1:12" x14ac:dyDescent="0.35">
      <c r="A53" s="15"/>
      <c r="B53" s="16"/>
      <c r="C53" s="16"/>
      <c r="D53" s="16"/>
      <c r="E53" s="3"/>
      <c r="F53" s="3"/>
      <c r="G53" s="3"/>
      <c r="H53" s="3"/>
      <c r="I53" s="3"/>
      <c r="J53" s="7" t="s">
        <v>4</v>
      </c>
      <c r="K53" s="5"/>
      <c r="L53" s="26"/>
    </row>
    <row r="54" spans="1:12" x14ac:dyDescent="0.35">
      <c r="A54" s="15">
        <v>2016</v>
      </c>
      <c r="B54" s="16">
        <v>1</v>
      </c>
      <c r="C54" s="16"/>
      <c r="D54" s="16"/>
      <c r="E54" s="3"/>
      <c r="F54" s="3"/>
      <c r="G54" s="3"/>
      <c r="H54" s="3"/>
      <c r="I54" s="3"/>
      <c r="J54" s="3"/>
      <c r="K54" s="25" t="s">
        <v>28</v>
      </c>
      <c r="L54" s="9"/>
    </row>
    <row r="55" spans="1:12" x14ac:dyDescent="0.35">
      <c r="A55" s="15">
        <v>2017</v>
      </c>
      <c r="B55" s="16">
        <v>1</v>
      </c>
      <c r="C55" s="16"/>
      <c r="D55" s="16"/>
      <c r="E55" s="3"/>
      <c r="F55" s="3"/>
      <c r="G55" s="3"/>
      <c r="H55" s="3"/>
      <c r="I55" s="3"/>
      <c r="J55" s="3"/>
      <c r="K55" s="3"/>
      <c r="L55" s="9"/>
    </row>
    <row r="56" spans="1:12" x14ac:dyDescent="0.35">
      <c r="A56" s="15">
        <v>2018</v>
      </c>
      <c r="B56" s="16">
        <v>1</v>
      </c>
      <c r="C56" s="16">
        <v>1</v>
      </c>
      <c r="D56" s="16"/>
      <c r="E56" s="3"/>
      <c r="F56" s="3"/>
      <c r="G56" s="3"/>
      <c r="H56" s="3"/>
      <c r="I56" s="3"/>
      <c r="J56" s="3"/>
      <c r="K56" s="3"/>
      <c r="L56" s="9"/>
    </row>
    <row r="57" spans="1:12" x14ac:dyDescent="0.35">
      <c r="A57" s="15">
        <v>2019</v>
      </c>
      <c r="B57" s="16">
        <v>1</v>
      </c>
      <c r="C57" s="16">
        <v>1</v>
      </c>
      <c r="D57" s="16"/>
      <c r="E57" s="3"/>
      <c r="F57" s="3"/>
      <c r="G57" s="3"/>
      <c r="H57" s="3"/>
      <c r="I57" s="3"/>
      <c r="J57" s="3"/>
      <c r="K57" s="3"/>
      <c r="L57" s="9"/>
    </row>
    <row r="58" spans="1:12" x14ac:dyDescent="0.35">
      <c r="A58" s="15">
        <v>2020</v>
      </c>
      <c r="B58" s="16">
        <v>1</v>
      </c>
      <c r="C58" s="16">
        <v>1</v>
      </c>
      <c r="D58" s="16"/>
      <c r="E58" s="3"/>
      <c r="F58" s="3"/>
      <c r="G58" s="3"/>
      <c r="H58" s="3"/>
      <c r="I58" s="3"/>
      <c r="J58" s="3"/>
      <c r="K58" s="3"/>
      <c r="L58" s="9"/>
    </row>
    <row r="59" spans="1:12" x14ac:dyDescent="0.35">
      <c r="A59" s="15">
        <v>2021</v>
      </c>
      <c r="B59" s="16">
        <v>1</v>
      </c>
      <c r="C59" s="16">
        <v>1</v>
      </c>
      <c r="D59" s="16"/>
      <c r="E59" s="3"/>
      <c r="F59" s="3"/>
      <c r="G59" s="3"/>
      <c r="H59" s="3"/>
      <c r="I59" s="3"/>
      <c r="J59" s="3"/>
      <c r="K59" s="3"/>
      <c r="L59" s="9"/>
    </row>
    <row r="60" spans="1:12" x14ac:dyDescent="0.35">
      <c r="A60" s="15">
        <v>2022</v>
      </c>
      <c r="B60" s="16">
        <v>1</v>
      </c>
      <c r="C60" s="16">
        <v>1</v>
      </c>
      <c r="D60" s="16"/>
      <c r="E60" s="3"/>
      <c r="F60" s="3"/>
      <c r="G60" s="3"/>
      <c r="H60" s="3"/>
      <c r="I60" s="3"/>
      <c r="J60" s="3"/>
      <c r="K60" s="3"/>
      <c r="L60" s="9" t="s">
        <v>29</v>
      </c>
    </row>
    <row r="61" spans="1:12" x14ac:dyDescent="0.35">
      <c r="A61" s="15">
        <v>2023</v>
      </c>
      <c r="B61" s="16">
        <v>1</v>
      </c>
      <c r="C61" s="16">
        <v>1</v>
      </c>
      <c r="D61" s="16"/>
      <c r="E61" s="3"/>
      <c r="F61" s="3"/>
      <c r="G61" s="3"/>
      <c r="H61" s="3"/>
      <c r="I61" s="3"/>
      <c r="J61" s="3"/>
      <c r="K61" s="3"/>
      <c r="L61" s="9"/>
    </row>
    <row r="62" spans="1:12" ht="15" thickBot="1" x14ac:dyDescent="0.4">
      <c r="A62" s="17">
        <v>2024</v>
      </c>
      <c r="B62" s="18"/>
      <c r="C62" s="18">
        <v>1</v>
      </c>
      <c r="D62" s="18"/>
      <c r="E62" s="11"/>
      <c r="F62" s="11"/>
      <c r="G62" s="11"/>
      <c r="H62" s="11"/>
      <c r="I62" s="11"/>
      <c r="J62" s="11"/>
      <c r="K62" s="11"/>
      <c r="L62" s="2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77822-D2C2-40BD-8998-490081F13732}">
  <dimension ref="A26:T55"/>
  <sheetViews>
    <sheetView tabSelected="1" topLeftCell="B13" workbookViewId="0">
      <selection activeCell="O23" sqref="O23"/>
    </sheetView>
  </sheetViews>
  <sheetFormatPr defaultRowHeight="14.5" x14ac:dyDescent="0.35"/>
  <sheetData>
    <row r="26" spans="1:20" ht="15" thickBot="1" x14ac:dyDescent="0.4"/>
    <row r="27" spans="1:20" ht="15" thickBot="1" x14ac:dyDescent="0.4">
      <c r="A27" s="28" t="s">
        <v>7</v>
      </c>
      <c r="B27" s="29" t="s">
        <v>8</v>
      </c>
      <c r="C27" s="29" t="s">
        <v>9</v>
      </c>
      <c r="D27" s="29" t="s">
        <v>10</v>
      </c>
      <c r="E27" s="30" t="s">
        <v>30</v>
      </c>
      <c r="F27" s="30" t="s">
        <v>31</v>
      </c>
      <c r="G27" s="30" t="s">
        <v>32</v>
      </c>
      <c r="H27" s="30" t="s">
        <v>33</v>
      </c>
      <c r="I27" s="30" t="s">
        <v>34</v>
      </c>
      <c r="J27" s="30" t="s">
        <v>35</v>
      </c>
      <c r="K27" s="30" t="s">
        <v>36</v>
      </c>
      <c r="L27" s="30" t="s">
        <v>37</v>
      </c>
      <c r="M27" s="30" t="s">
        <v>38</v>
      </c>
      <c r="N27" s="30" t="s">
        <v>39</v>
      </c>
      <c r="O27" s="30" t="s">
        <v>40</v>
      </c>
      <c r="P27" s="30" t="s">
        <v>41</v>
      </c>
      <c r="Q27" s="30" t="s">
        <v>42</v>
      </c>
      <c r="R27" s="30" t="s">
        <v>43</v>
      </c>
      <c r="S27" s="30" t="s">
        <v>44</v>
      </c>
      <c r="T27" s="31" t="s">
        <v>45</v>
      </c>
    </row>
    <row r="28" spans="1:20" x14ac:dyDescent="0.35">
      <c r="A28" s="15">
        <v>2000</v>
      </c>
      <c r="B28" s="16">
        <v>0</v>
      </c>
      <c r="C28" s="16"/>
      <c r="D28" s="16">
        <v>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4"/>
    </row>
    <row r="29" spans="1:20" x14ac:dyDescent="0.35">
      <c r="A29" s="15">
        <v>2001</v>
      </c>
      <c r="B29" s="16">
        <v>0</v>
      </c>
      <c r="C29" s="16"/>
      <c r="D29" s="16">
        <v>0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4"/>
    </row>
    <row r="30" spans="1:20" x14ac:dyDescent="0.35">
      <c r="A30" s="15">
        <v>2002</v>
      </c>
      <c r="B30" s="16">
        <v>0</v>
      </c>
      <c r="C30" s="16"/>
      <c r="D30" s="16">
        <v>0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4"/>
    </row>
    <row r="31" spans="1:20" x14ac:dyDescent="0.35">
      <c r="A31" s="15">
        <v>2003</v>
      </c>
      <c r="B31" s="16">
        <v>2</v>
      </c>
      <c r="C31" s="16"/>
      <c r="D31" s="16">
        <v>2</v>
      </c>
      <c r="E31" s="8" t="s">
        <v>46</v>
      </c>
      <c r="F31" s="8" t="s">
        <v>46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4"/>
    </row>
    <row r="32" spans="1:20" x14ac:dyDescent="0.35">
      <c r="A32" s="15">
        <v>2004</v>
      </c>
      <c r="B32" s="16">
        <v>2</v>
      </c>
      <c r="C32" s="16"/>
      <c r="D32" s="16">
        <v>2</v>
      </c>
      <c r="E32" s="8"/>
      <c r="F32" s="8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4"/>
    </row>
    <row r="33" spans="1:20" x14ac:dyDescent="0.35">
      <c r="A33" s="15">
        <v>2005</v>
      </c>
      <c r="B33" s="16">
        <v>2</v>
      </c>
      <c r="C33" s="16"/>
      <c r="D33" s="16">
        <v>2</v>
      </c>
      <c r="E33" s="8"/>
      <c r="F33" s="8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4"/>
    </row>
    <row r="34" spans="1:20" x14ac:dyDescent="0.35">
      <c r="A34" s="15">
        <v>2006</v>
      </c>
      <c r="B34" s="16">
        <v>3</v>
      </c>
      <c r="C34" s="16"/>
      <c r="D34" s="16"/>
      <c r="E34" s="8"/>
      <c r="F34" s="8"/>
      <c r="G34" s="5">
        <v>38909</v>
      </c>
      <c r="H34" s="5">
        <v>38909</v>
      </c>
      <c r="I34" s="5">
        <v>38909</v>
      </c>
      <c r="J34" s="5">
        <v>38909</v>
      </c>
      <c r="K34" s="5">
        <v>38909</v>
      </c>
      <c r="L34" s="5">
        <v>38909</v>
      </c>
      <c r="M34" s="3"/>
      <c r="N34" s="3"/>
      <c r="O34" s="3"/>
      <c r="P34" s="3"/>
      <c r="Q34" s="3"/>
      <c r="R34" s="3"/>
      <c r="S34" s="3"/>
      <c r="T34" s="4"/>
    </row>
    <row r="35" spans="1:20" x14ac:dyDescent="0.35">
      <c r="A35" s="15" t="s">
        <v>47</v>
      </c>
      <c r="B35" s="16"/>
      <c r="C35" s="16"/>
      <c r="D35" s="16">
        <v>4</v>
      </c>
      <c r="E35" s="7">
        <v>38959</v>
      </c>
      <c r="F35" s="25" t="s">
        <v>47</v>
      </c>
      <c r="G35" s="25" t="s">
        <v>47</v>
      </c>
      <c r="H35" s="25" t="s">
        <v>47</v>
      </c>
      <c r="I35" s="5"/>
      <c r="J35" s="5"/>
      <c r="K35" s="5"/>
      <c r="L35" s="5"/>
      <c r="M35" s="3"/>
      <c r="N35" s="3"/>
      <c r="O35" s="3"/>
      <c r="P35" s="3"/>
      <c r="Q35" s="3"/>
      <c r="R35" s="3"/>
      <c r="S35" s="3"/>
      <c r="T35" s="4"/>
    </row>
    <row r="36" spans="1:20" x14ac:dyDescent="0.35">
      <c r="A36" s="15">
        <v>2007</v>
      </c>
      <c r="B36" s="16">
        <v>4</v>
      </c>
      <c r="C36" s="16"/>
      <c r="D36" s="16">
        <v>4</v>
      </c>
      <c r="E36" s="3"/>
      <c r="F36" s="3"/>
      <c r="G36" s="3"/>
      <c r="H36" s="3"/>
      <c r="I36" s="8"/>
      <c r="J36" s="8"/>
      <c r="K36" s="8"/>
      <c r="L36" s="8"/>
      <c r="M36" s="3"/>
      <c r="N36" s="3"/>
      <c r="O36" s="3"/>
      <c r="P36" s="3"/>
      <c r="Q36" s="3"/>
      <c r="R36" s="3"/>
      <c r="S36" s="3"/>
      <c r="T36" s="4"/>
    </row>
    <row r="37" spans="1:20" x14ac:dyDescent="0.35">
      <c r="A37" s="15">
        <v>2008</v>
      </c>
      <c r="B37" s="16">
        <v>0</v>
      </c>
      <c r="C37" s="16"/>
      <c r="D37" s="16">
        <v>1</v>
      </c>
      <c r="E37" s="3"/>
      <c r="F37" s="3"/>
      <c r="G37" s="3"/>
      <c r="H37" s="3"/>
      <c r="I37" s="25" t="s">
        <v>48</v>
      </c>
      <c r="J37" s="25" t="s">
        <v>48</v>
      </c>
      <c r="K37" s="25" t="s">
        <v>48</v>
      </c>
      <c r="L37" s="25" t="s">
        <v>48</v>
      </c>
      <c r="M37" s="5">
        <v>39632</v>
      </c>
      <c r="N37" s="3"/>
      <c r="O37" s="3"/>
      <c r="P37" s="3"/>
      <c r="Q37" s="3"/>
      <c r="R37" s="3"/>
      <c r="S37" s="3"/>
      <c r="T37" s="4"/>
    </row>
    <row r="38" spans="1:20" x14ac:dyDescent="0.35">
      <c r="A38" s="15">
        <v>2009</v>
      </c>
      <c r="B38" s="16">
        <v>0</v>
      </c>
      <c r="C38" s="16"/>
      <c r="D38" s="16">
        <v>1</v>
      </c>
      <c r="E38" s="3"/>
      <c r="F38" s="3"/>
      <c r="G38" s="3"/>
      <c r="H38" s="3"/>
      <c r="I38" s="3"/>
      <c r="J38" s="3"/>
      <c r="K38" s="3"/>
      <c r="L38" s="3"/>
      <c r="M38" s="8"/>
      <c r="N38" s="3"/>
      <c r="O38" s="3"/>
      <c r="P38" s="3"/>
      <c r="Q38" s="3"/>
      <c r="R38" s="3"/>
      <c r="S38" s="3"/>
      <c r="T38" s="4"/>
    </row>
    <row r="39" spans="1:20" x14ac:dyDescent="0.35">
      <c r="A39" s="15">
        <v>2010</v>
      </c>
      <c r="B39" s="16">
        <v>1</v>
      </c>
      <c r="C39" s="16"/>
      <c r="D39" s="16">
        <v>1</v>
      </c>
      <c r="E39" s="3"/>
      <c r="F39" s="3"/>
      <c r="G39" s="3"/>
      <c r="H39" s="3"/>
      <c r="I39" s="3"/>
      <c r="J39" s="3"/>
      <c r="K39" s="3"/>
      <c r="L39" s="3"/>
      <c r="M39" s="8"/>
      <c r="N39" s="3"/>
      <c r="O39" s="3"/>
      <c r="P39" s="3"/>
      <c r="Q39" s="3"/>
      <c r="R39" s="3"/>
      <c r="S39" s="3"/>
      <c r="T39" s="4"/>
    </row>
    <row r="40" spans="1:20" x14ac:dyDescent="0.35">
      <c r="A40" s="15">
        <v>2011</v>
      </c>
      <c r="B40" s="16">
        <v>0</v>
      </c>
      <c r="C40" s="16"/>
      <c r="D40" s="16">
        <v>2</v>
      </c>
      <c r="E40" s="3"/>
      <c r="F40" s="3"/>
      <c r="G40" s="3"/>
      <c r="H40" s="3"/>
      <c r="I40" s="3"/>
      <c r="J40" s="3"/>
      <c r="K40" s="3"/>
      <c r="L40" s="3"/>
      <c r="M40" s="8"/>
      <c r="N40" s="5">
        <v>40549</v>
      </c>
      <c r="O40" s="3"/>
      <c r="P40" s="3"/>
      <c r="Q40" s="3"/>
      <c r="R40" s="3"/>
      <c r="S40" s="3"/>
      <c r="T40" s="4"/>
    </row>
    <row r="41" spans="1:20" x14ac:dyDescent="0.35">
      <c r="A41" s="15"/>
      <c r="B41" s="16"/>
      <c r="C41" s="16"/>
      <c r="D41" s="16">
        <v>0</v>
      </c>
      <c r="E41" s="3"/>
      <c r="F41" s="3"/>
      <c r="G41" s="3"/>
      <c r="H41" s="3"/>
      <c r="I41" s="3"/>
      <c r="J41" s="3"/>
      <c r="K41" s="3"/>
      <c r="L41" s="3"/>
      <c r="M41" s="7">
        <v>40826</v>
      </c>
      <c r="N41" s="7" t="s">
        <v>26</v>
      </c>
      <c r="O41" s="3"/>
      <c r="P41" s="3"/>
      <c r="Q41" s="3"/>
      <c r="R41" s="3"/>
      <c r="S41" s="3"/>
      <c r="T41" s="4"/>
    </row>
    <row r="42" spans="1:20" x14ac:dyDescent="0.35">
      <c r="A42" s="15">
        <v>2012</v>
      </c>
      <c r="B42" s="16">
        <v>0</v>
      </c>
      <c r="C42" s="16"/>
      <c r="D42" s="16">
        <v>0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4"/>
    </row>
    <row r="43" spans="1:20" x14ac:dyDescent="0.35">
      <c r="A43" s="15">
        <v>2013</v>
      </c>
      <c r="B43" s="16">
        <v>3</v>
      </c>
      <c r="C43" s="16"/>
      <c r="D43" s="16"/>
      <c r="E43" s="3"/>
      <c r="F43" s="3"/>
      <c r="G43" s="3"/>
      <c r="H43" s="3"/>
      <c r="I43" s="3"/>
      <c r="J43" s="3"/>
      <c r="K43" s="3"/>
      <c r="L43" s="3"/>
      <c r="M43" s="3"/>
      <c r="N43" s="3"/>
      <c r="O43" s="5">
        <v>41415</v>
      </c>
      <c r="P43" s="5">
        <v>41417</v>
      </c>
      <c r="Q43" s="5">
        <v>41417</v>
      </c>
      <c r="R43" s="5">
        <v>41417</v>
      </c>
      <c r="S43" s="5">
        <v>41417</v>
      </c>
      <c r="T43" s="26">
        <v>41438</v>
      </c>
    </row>
    <row r="44" spans="1:20" x14ac:dyDescent="0.35">
      <c r="A44" s="15"/>
      <c r="B44" s="16"/>
      <c r="C44" s="16"/>
      <c r="D44" s="16">
        <v>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7" t="s">
        <v>49</v>
      </c>
      <c r="P44" s="7" t="s">
        <v>49</v>
      </c>
      <c r="Q44" s="7" t="s">
        <v>49</v>
      </c>
      <c r="R44" s="5"/>
      <c r="S44" s="5"/>
      <c r="T44" s="26"/>
    </row>
    <row r="45" spans="1:20" x14ac:dyDescent="0.35">
      <c r="A45" s="15">
        <v>2014</v>
      </c>
      <c r="B45" s="16">
        <v>2</v>
      </c>
      <c r="C45" s="16"/>
      <c r="D45" s="16">
        <v>2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25" t="s">
        <v>27</v>
      </c>
      <c r="S45" s="8"/>
      <c r="T45" s="9"/>
    </row>
    <row r="46" spans="1:20" x14ac:dyDescent="0.35">
      <c r="A46" s="15">
        <v>2015</v>
      </c>
      <c r="B46" s="16">
        <v>1</v>
      </c>
      <c r="C46" s="16"/>
      <c r="D46" s="16">
        <v>1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25" t="s">
        <v>4</v>
      </c>
      <c r="T46" s="9"/>
    </row>
    <row r="47" spans="1:20" x14ac:dyDescent="0.35">
      <c r="A47" s="15">
        <v>2016</v>
      </c>
      <c r="B47" s="16">
        <v>0</v>
      </c>
      <c r="C47" s="16"/>
      <c r="D47" s="16">
        <v>0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10" t="s">
        <v>28</v>
      </c>
    </row>
    <row r="48" spans="1:20" x14ac:dyDescent="0.35">
      <c r="A48" s="15">
        <v>2017</v>
      </c>
      <c r="B48" s="16">
        <v>0</v>
      </c>
      <c r="C48" s="16"/>
      <c r="D48" s="16">
        <v>0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4"/>
    </row>
    <row r="49" spans="1:20" x14ac:dyDescent="0.35">
      <c r="A49" s="15">
        <v>2018</v>
      </c>
      <c r="B49" s="16">
        <v>0</v>
      </c>
      <c r="C49" s="16"/>
      <c r="D49" s="16">
        <v>0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4"/>
    </row>
    <row r="50" spans="1:20" x14ac:dyDescent="0.35">
      <c r="A50" s="15">
        <v>2019</v>
      </c>
      <c r="B50" s="16">
        <v>0</v>
      </c>
      <c r="C50" s="16"/>
      <c r="D50" s="16">
        <v>0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4"/>
    </row>
    <row r="51" spans="1:20" x14ac:dyDescent="0.35">
      <c r="A51" s="15">
        <v>2020</v>
      </c>
      <c r="B51" s="16">
        <v>0</v>
      </c>
      <c r="C51" s="16"/>
      <c r="D51" s="16">
        <v>0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4"/>
    </row>
    <row r="52" spans="1:20" x14ac:dyDescent="0.35">
      <c r="A52" s="15">
        <v>2021</v>
      </c>
      <c r="B52" s="16">
        <v>0</v>
      </c>
      <c r="C52" s="16"/>
      <c r="D52" s="16">
        <v>0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4"/>
    </row>
    <row r="53" spans="1:20" x14ac:dyDescent="0.35">
      <c r="A53" s="15">
        <v>2022</v>
      </c>
      <c r="B53" s="16">
        <v>0</v>
      </c>
      <c r="C53" s="16"/>
      <c r="D53" s="16">
        <v>0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4"/>
    </row>
    <row r="54" spans="1:20" x14ac:dyDescent="0.35">
      <c r="A54" s="15">
        <v>2023</v>
      </c>
      <c r="B54" s="16">
        <v>0</v>
      </c>
      <c r="C54" s="16"/>
      <c r="D54" s="16">
        <v>0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4"/>
    </row>
    <row r="55" spans="1:20" ht="15" thickBot="1" x14ac:dyDescent="0.4">
      <c r="A55" s="17">
        <v>2024</v>
      </c>
      <c r="B55" s="18">
        <v>0</v>
      </c>
      <c r="C55" s="18"/>
      <c r="D55" s="18">
        <v>0</v>
      </c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2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Jolthead Porgy</vt:lpstr>
      <vt:lpstr>Sheepshead Porgy</vt:lpstr>
      <vt:lpstr>Saucereye Porgy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Joey Gasink</dc:creator>
  <cp:lastModifiedBy>Joey Gasink</cp:lastModifiedBy>
  <dcterms:created xsi:type="dcterms:W3CDTF">2026-07-02T12:27:22Z</dcterms:created>
  <dcterms:modified xsi:type="dcterms:W3CDTF">2026-07-06T16:46:43Z</dcterms:modified>
</cp:coreProperties>
</file>